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b87be8840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08ebe4079f4959"/>
    <x:sheet xmlns:r="http://schemas.openxmlformats.org/officeDocument/2006/relationships" name="Assumptions" sheetId="2" r:id="Rff31d6edaa904fda"/>
    <x:sheet xmlns:r="http://schemas.openxmlformats.org/officeDocument/2006/relationships" name="Cost detail" sheetId="3" r:id="R915e72b300be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92eb938854ae0" /><Relationship Type="http://schemas.openxmlformats.org/officeDocument/2006/relationships/theme" Target="/xl/theme/theme1.xml" Id="Rce047ad1b61c4bc2" /><Relationship Type="http://schemas.openxmlformats.org/officeDocument/2006/relationships/sharedStrings" Target="/xl/sharedStrings.xml" Id="R63b0829176484966" /><Relationship Type="http://schemas.openxmlformats.org/officeDocument/2006/relationships/worksheet" Target="/xl/worksheets/sheet1.xml" Id="R3d08ebe4079f4959" /><Relationship Type="http://schemas.openxmlformats.org/officeDocument/2006/relationships/worksheet" Target="/xl/worksheets/sheet2.xml" Id="Rff31d6edaa904fda" /><Relationship Type="http://schemas.openxmlformats.org/officeDocument/2006/relationships/worksheet" Target="/xl/worksheets/sheet3.xml" Id="R915e72b300be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PaySecure DR cost model</x:v>
      </x:c>
      <x:c r="B1" s="2" t="str">
        <x:v>Planning estimate | INR crore / year</x:v>
      </x:c>
      <x:c r="C1" s="2" t="str">
        <x:v>As of</x:v>
      </x:c>
      <x:c r="D1" s="2" t="str">
        <x:v>2026-10-20</x:v>
      </x:c>
    </x:row>
    <x:row r="3">
      <x:c r="A3" s="4" t="str">
        <x:v>Deployment tier</x:v>
      </x:c>
      <x:c r="B3" s="4" t="str">
        <x:v>Annual cost (INR cr)</x:v>
      </x:c>
      <x:c r="C3" s="4" t="str">
        <x:v>Increment vs current (INR cr)</x:v>
      </x:c>
      <x:c r="D3" s="4" t="str">
        <x:v>Factor vs current</x:v>
      </x:c>
    </x:row>
    <x:row r="4">
      <x:c r="A4" t="str">
        <x:v>Cold standby</x:v>
      </x:c>
      <x:c r="B4" s="6" t="n">
        <x:f>'Cost detail'!C19</x:f>
        <x:v>9.072999999999999</x:v>
      </x:c>
      <x:c r="C4" s="6" t="n">
        <x:f>B4-Assumptions!B2</x:f>
        <x:v>1.0729999999999986</x:v>
      </x:c>
      <x:c r="D4" s="7" t="n">
        <x:f>B4/Assumptions!B2</x:f>
        <x:v>1.1341249999999998</x:v>
      </x:c>
    </x:row>
    <x:row r="5">
      <x:c r="A5" t="str">
        <x:v>Warm standby</x:v>
      </x:c>
      <x:c r="B5" s="6" t="n">
        <x:f>'Cost detail'!D19</x:f>
        <x:v>11.815999999999995</x:v>
      </x:c>
      <x:c r="C5" s="6" t="n">
        <x:f>B5-Assumptions!B2</x:f>
        <x:v>3.8159999999999954</x:v>
      </x:c>
      <x:c r="D5" s="7" t="n">
        <x:f>B5/Assumptions!B2</x:f>
        <x:v>1.4769999999999994</x:v>
      </x:c>
    </x:row>
    <x:row r="6">
      <x:c r="A6" t="str">
        <x:v>Hot standby (recommended)</x:v>
      </x:c>
      <x:c r="B6" s="6" t="n">
        <x:f>'Cost detail'!E19</x:f>
        <x:v>14.348</x:v>
      </x:c>
      <x:c r="C6" s="6" t="n">
        <x:f>B6-Assumptions!B2</x:f>
        <x:v>6.348000000000001</x:v>
      </x:c>
      <x:c r="D6" s="7" t="n">
        <x:f>B6/Assumptions!B2</x:f>
        <x:v>1.7935</x:v>
      </x:c>
    </x:row>
    <x:row r="7">
      <x:c r="A7" t="str">
        <x:v>Active-active</x:v>
      </x:c>
      <x:c r="B7" s="6" t="n">
        <x:f>'Cost detail'!F19</x:f>
        <x:v>16.880000000000003</x:v>
      </x:c>
      <x:c r="C7" s="6" t="n">
        <x:f>B7-Assumptions!B2</x:f>
        <x:v>8.880000000000003</x:v>
      </x:c>
      <x:c r="D7" s="7" t="n">
        <x:f>B7/Assumptions!B2</x:f>
        <x:v>2.1100000000000003</x:v>
      </x:c>
    </x:row>
    <x:row r="10">
      <x:c r="A10" t="str">
        <x:v>Scenario input</x:v>
      </x:c>
      <x:c r="B10" t="str">
        <x:v>Value</x:v>
      </x:c>
    </x:row>
    <x:row r="11">
      <x:c r="A11" t="str">
        <x:v>Transactions/day</x:v>
      </x:c>
      <x:c r="B11" t="n">
        <x:v>3200000</x:v>
      </x:c>
    </x:row>
    <x:row r="12">
      <x:c r="A12" t="str">
        <x:v>Gross value/day (INR cr)</x:v>
      </x:c>
      <x:c r="B12" t="n">
        <x:v>500</x:v>
      </x:c>
    </x:row>
    <x:row r="13">
      <x:c r="A13" t="str">
        <x:v>Peak TPS</x:v>
      </x:c>
      <x:c r="B13" t="n">
        <x:v>1200</x:v>
      </x:c>
    </x:row>
    <x:row r="14">
      <x:c r="A14" t="str">
        <x:v>Capacity target TPS (+30%)</x:v>
      </x:c>
      <x:c r="B14" t="n">
        <x:v>1560</x:v>
      </x:c>
    </x:row>
    <x:row r="16">
      <x:c r="A16" t="str">
        <x:v>Interpretation</x:v>
      </x:c>
      <x:c r="B16" t="str">
        <x:v>Scales INR 8cr baseline using editable tier factors; planning sensitivity, not an AWS quote.</x:v>
      </x:c>
    </x:row>
    <x:row r="17">
      <x:c r="A17" t="str">
        <x:v>Excluded</x:v>
      </x:c>
      <x:c r="B17" t="str">
        <x:v>GST, migration, staffing build and provider fees not independently priced.</x:v>
      </x:c>
    </x:row>
    <x:row r="18">
      <x:c r="A18" t="str">
        <x:v>Approval gate</x:v>
      </x:c>
      <x:c r="B18" t="str">
        <x:v>Replace shares/factors with AWS calculator/export and vendor quotes.</x:v>
      </x:c>
    </x:row>
    <x:row r="19">
      <x:c r="A19" t="str">
        <x:v>Recovery target</x:v>
      </x:c>
      <x:c r="B19" t="str">
        <x:v>RPO &lt;60 sec and RTO &lt;5 min are unverified acceptance targets.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Input</x:v>
      </x:c>
      <x:c r="B1" s="4" t="str">
        <x:v>Value</x:v>
      </x:c>
      <x:c r="C1" s="4" t="str">
        <x:v>Basis / source</x:v>
      </x:c>
    </x:row>
    <x:row r="2">
      <x:c r="A2" t="str">
        <x:v>Current annual infrastructure baseline (INR cr)</x:v>
      </x:c>
      <x:c r="B2" t="n">
        <x:v>8</x:v>
      </x:c>
      <x:c r="C2" t="str">
        <x:v>Scenario brief; replace with finance-approved baseline</x:v>
      </x:c>
    </x:row>
    <x:row r="3">
      <x:c r="A3" t="str">
        <x:v>Cold standby factor</x:v>
      </x:c>
      <x:c r="B3" s="7" t="n">
        <x:v>1.075</x:v>
      </x:c>
      <x:c r="C3" t="str">
        <x:v>Brief range midpoint</x:v>
      </x:c>
    </x:row>
    <x:row r="4">
      <x:c r="A4" t="str">
        <x:v>Warm standby factor</x:v>
      </x:c>
      <x:c r="B4" s="7" t="n">
        <x:v>1.4</x:v>
      </x:c>
      <x:c r="C4" t="str">
        <x:v>Brief range midpoint</x:v>
      </x:c>
    </x:row>
    <x:row r="5">
      <x:c r="A5" t="str">
        <x:v>Hot standby factor</x:v>
      </x:c>
      <x:c r="B5" s="7" t="n">
        <x:v>1.7</x:v>
      </x:c>
      <x:c r="C5" t="str">
        <x:v>Brief range midpoint</x:v>
      </x:c>
    </x:row>
    <x:row r="6">
      <x:c r="A6" t="str">
        <x:v>Active-active factor</x:v>
      </x:c>
      <x:c r="B6" s="7" t="n">
        <x:v>2</x:v>
      </x:c>
      <x:c r="C6" t="str">
        <x:v>Brief range midpoint</x:v>
      </x:c>
    </x:row>
    <x:row r="7">
      <x:c r="A7" t="str">
        <x:v>Fee rate assumption</x:v>
      </x:c>
      <x:c r="B7" s="5" t="n">
        <x:v>0.018</x:v>
      </x:c>
      <x:c r="C7" t="str">
        <x:v>Illustrative only</x:v>
      </x:c>
    </x:row>
    <x:row r="8">
      <x:c r="A8" t="str">
        <x:v>Business hours/day</x:v>
      </x:c>
      <x:c r="B8" t="n">
        <x:v>16</x:v>
      </x:c>
      <x:c r="C8" t="str">
        <x:v>Scenario assumption</x:v>
      </x:c>
    </x:row>
    <x:row r="9">
      <x:c r="A9" t="str">
        <x:v>Average TPS (business hours)</x:v>
      </x:c>
      <x:c r="B9" t="n">
        <x:v>55.5556</x:v>
      </x:c>
      <x:c r="C9" t="str">
        <x:v>3.2m / (16 x 3600)</x:v>
      </x:c>
    </x:row>
    <x:row r="10">
      <x:c r="A10" t="str">
        <x:v>Peak TPS</x:v>
      </x:c>
      <x:c r="B10" t="n">
        <x:v>1200</x:v>
      </x:c>
      <x:c r="C10" t="str">
        <x:v>Scenario brief</x:v>
      </x:c>
    </x:row>
    <x:row r="11">
      <x:c r="A11" t="str">
        <x:v>Capacity headroom</x:v>
      </x:c>
      <x:c r="B11" t="n">
        <x:v>0.3</x:v>
      </x:c>
      <x:c r="C11" t="str">
        <x:v>Engineering assumption</x:v>
      </x:c>
    </x:row>
    <x:row r="12">
      <x:c r="A12" t="str">
        <x:v>Currency</x:v>
      </x:c>
      <x:c r="B12" t="str">
        <x:v>INR</x:v>
      </x:c>
      <x:c r="C12" t="str">
        <x:v>Rupees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Service / cost category</x:v>
      </x:c>
      <x:c r="B1" s="4" t="str">
        <x:v>Baseline share</x:v>
      </x:c>
      <x:c r="C1" s="4" t="str">
        <x:v>Cold annual (INR cr)</x:v>
      </x:c>
      <x:c r="D1" s="4" t="str">
        <x:v>Warm annual (INR cr)</x:v>
      </x:c>
      <x:c r="E1" s="4" t="str">
        <x:v>Hot annual (INR cr)</x:v>
      </x:c>
      <x:c r="F1" s="4" t="str">
        <x:v>Active-active annual (INR cr)</x:v>
      </x:c>
    </x:row>
    <x:row r="2">
      <x:c r="A2" t="str">
        <x:v>EKS compute</x:v>
      </x:c>
      <x:c r="B2" s="5" t="n">
        <x:v>0.16</x:v>
      </x:c>
      <x:c r="C2" s="6" t="n">
        <x:f>B2*Assumptions!$B$2*Assumptions!$B$3</x:f>
        <x:v>1.376</x:v>
      </x:c>
      <x:c r="D2" s="6" t="n">
        <x:f>B2*Assumptions!$B$2*Assumptions!$B$4</x:f>
        <x:v>1.7919999999999998</x:v>
      </x:c>
      <x:c r="E2" s="6" t="n">
        <x:f>B2*Assumptions!$B$2*Assumptions!$B$5</x:f>
        <x:v>2.176</x:v>
      </x:c>
      <x:c r="F2" s="6" t="n">
        <x:f>B2*Assumptions!$B$2*Assumptions!$B$6</x:f>
        <x:v>2.56</x:v>
      </x:c>
    </x:row>
    <x:row r="3">
      <x:c r="A3" t="str">
        <x:v>Aurora PostgreSQL Global DB</x:v>
      </x:c>
      <x:c r="B3" s="5" t="n">
        <x:v>0.14</x:v>
      </x:c>
      <x:c r="C3" s="6" t="n">
        <x:f>B3*Assumptions!$B$2*Assumptions!$B$3</x:f>
        <x:v>1.204</x:v>
      </x:c>
      <x:c r="D3" s="6" t="n">
        <x:f>B3*Assumptions!$B$2*Assumptions!$B$4</x:f>
        <x:v>1.568</x:v>
      </x:c>
      <x:c r="E3" s="6" t="n">
        <x:f>B3*Assumptions!$B$2*Assumptions!$B$5</x:f>
        <x:v>1.9040000000000001</x:v>
      </x:c>
      <x:c r="F3" s="6" t="n">
        <x:f>B3*Assumptions!$B$2*Assumptions!$B$6</x:f>
        <x:v>2.24</x:v>
      </x:c>
    </x:row>
    <x:row r="4">
      <x:c r="A4" t="str">
        <x:v>DynamoDB Global Tables</x:v>
      </x:c>
      <x:c r="B4" s="5" t="n">
        <x:v>0.06</x:v>
      </x:c>
      <x:c r="C4" s="6" t="n">
        <x:f>B4*Assumptions!$B$2*Assumptions!$B$3</x:f>
        <x:v>0.516</x:v>
      </x:c>
      <x:c r="D4" s="6" t="n">
        <x:f>B4*Assumptions!$B$2*Assumptions!$B$4</x:f>
        <x:v>0.6719999999999999</x:v>
      </x:c>
      <x:c r="E4" s="6" t="n">
        <x:f>B4*Assumptions!$B$2*Assumptions!$B$5</x:f>
        <x:v>0.816</x:v>
      </x:c>
      <x:c r="F4" s="6" t="n">
        <x:f>B4*Assumptions!$B$2*Assumptions!$B$6</x:f>
        <x:v>0.96</x:v>
      </x:c>
    </x:row>
    <x:row r="5">
      <x:c r="A5" t="str">
        <x:v>ElastiCache Redis Global Datastore</x:v>
      </x:c>
      <x:c r="B5" s="5" t="n">
        <x:v>0.055</x:v>
      </x:c>
      <x:c r="C5" s="6" t="n">
        <x:f>B5*Assumptions!$B$2*Assumptions!$B$3</x:f>
        <x:v>0.473</x:v>
      </x:c>
      <x:c r="D5" s="6" t="n">
        <x:f>B5*Assumptions!$B$2*Assumptions!$B$4</x:f>
        <x:v>0.616</x:v>
      </x:c>
      <x:c r="E5" s="6" t="n">
        <x:f>B5*Assumptions!$B$2*Assumptions!$B$5</x:f>
        <x:v>0.748</x:v>
      </x:c>
      <x:c r="F5" s="6" t="n">
        <x:f>B5*Assumptions!$B$2*Assumptions!$B$6</x:f>
        <x:v>0.88</x:v>
      </x:c>
    </x:row>
    <x:row r="6">
      <x:c r="A6" t="str">
        <x:v>MSK + Replicator</x:v>
      </x:c>
      <x:c r="B6" s="5" t="n">
        <x:v>0.12</x:v>
      </x:c>
      <x:c r="C6" s="6" t="n">
        <x:f>B6*Assumptions!$B$2*Assumptions!$B$3</x:f>
        <x:v>1.032</x:v>
      </x:c>
      <x:c r="D6" s="6" t="n">
        <x:f>B6*Assumptions!$B$2*Assumptions!$B$4</x:f>
        <x:v>1.3439999999999999</x:v>
      </x:c>
      <x:c r="E6" s="6" t="n">
        <x:f>B6*Assumptions!$B$2*Assumptions!$B$5</x:f>
        <x:v>1.632</x:v>
      </x:c>
      <x:c r="F6" s="6" t="n">
        <x:f>B6*Assumptions!$B$2*Assumptions!$B$6</x:f>
        <x:v>1.92</x:v>
      </x:c>
    </x:row>
    <x:row r="7">
      <x:c r="A7" t="str">
        <x:v>Inter-region transfer</x:v>
      </x:c>
      <x:c r="B7" s="5" t="n">
        <x:v>0.07</x:v>
      </x:c>
      <x:c r="C7" s="6" t="n">
        <x:f>B7*Assumptions!$B$2*Assumptions!$B$3</x:f>
        <x:v>0.602</x:v>
      </x:c>
      <x:c r="D7" s="6" t="n">
        <x:f>B7*Assumptions!$B$2*Assumptions!$B$4</x:f>
        <x:v>0.784</x:v>
      </x:c>
      <x:c r="E7" s="6" t="n">
        <x:f>B7*Assumptions!$B$2*Assumptions!$B$5</x:f>
        <x:v>0.9520000000000001</x:v>
      </x:c>
      <x:c r="F7" s="6" t="n">
        <x:f>B7*Assumptions!$B$2*Assumptions!$B$6</x:f>
        <x:v>1.12</x:v>
      </x:c>
    </x:row>
    <x:row r="8">
      <x:c r="A8" t="str">
        <x:v>NAT gateway and processing</x:v>
      </x:c>
      <x:c r="B8" s="5" t="n">
        <x:v>0.055</x:v>
      </x:c>
      <x:c r="C8" s="6" t="n">
        <x:f>B8*Assumptions!$B$2*Assumptions!$B$3</x:f>
        <x:v>0.473</x:v>
      </x:c>
      <x:c r="D8" s="6" t="n">
        <x:f>B8*Assumptions!$B$2*Assumptions!$B$4</x:f>
        <x:v>0.616</x:v>
      </x:c>
      <x:c r="E8" s="6" t="n">
        <x:f>B8*Assumptions!$B$2*Assumptions!$B$5</x:f>
        <x:v>0.748</x:v>
      </x:c>
      <x:c r="F8" s="6" t="n">
        <x:f>B8*Assumptions!$B$2*Assumptions!$B$6</x:f>
        <x:v>0.88</x:v>
      </x:c>
    </x:row>
    <x:row r="9">
      <x:c r="A9" t="str">
        <x:v>Route 53 health checks</x:v>
      </x:c>
      <x:c r="B9" s="5" t="n">
        <x:v>0.008</x:v>
      </x:c>
      <x:c r="C9" s="6" t="n">
        <x:f>B9*Assumptions!$B$2*Assumptions!$B$3</x:f>
        <x:v>0.0688</x:v>
      </x:c>
      <x:c r="D9" s="6" t="n">
        <x:f>B9*Assumptions!$B$2*Assumptions!$B$4</x:f>
        <x:v>0.0896</x:v>
      </x:c>
      <x:c r="E9" s="6" t="n">
        <x:f>B9*Assumptions!$B$2*Assumptions!$B$5</x:f>
        <x:v>0.1088</x:v>
      </x:c>
      <x:c r="F9" s="6" t="n">
        <x:f>B9*Assumptions!$B$2*Assumptions!$B$6</x:f>
        <x:v>0.128</x:v>
      </x:c>
    </x:row>
    <x:row r="10">
      <x:c r="A10" t="str">
        <x:v>S3 backup and replication</x:v>
      </x:c>
      <x:c r="B10" s="5" t="n">
        <x:v>0.035</x:v>
      </x:c>
      <x:c r="C10" s="6" t="n">
        <x:f>B10*Assumptions!$B$2*Assumptions!$B$3</x:f>
        <x:v>0.301</x:v>
      </x:c>
      <x:c r="D10" s="6" t="n">
        <x:f>B10*Assumptions!$B$2*Assumptions!$B$4</x:f>
        <x:v>0.392</x:v>
      </x:c>
      <x:c r="E10" s="6" t="n">
        <x:f>B10*Assumptions!$B$2*Assumptions!$B$5</x:f>
        <x:v>0.47600000000000003</x:v>
      </x:c>
      <x:c r="F10" s="6" t="n">
        <x:f>B10*Assumptions!$B$2*Assumptions!$B$6</x:f>
        <x:v>0.56</x:v>
      </x:c>
    </x:row>
    <x:row r="11">
      <x:c r="A11" t="str">
        <x:v>KMS/HSM/secrets</x:v>
      </x:c>
      <x:c r="B11" s="5" t="n">
        <x:v>0.035</x:v>
      </x:c>
      <x:c r="C11" s="6" t="n">
        <x:f>B11*Assumptions!$B$2*Assumptions!$B$3</x:f>
        <x:v>0.301</x:v>
      </x:c>
      <x:c r="D11" s="6" t="n">
        <x:f>B11*Assumptions!$B$2*Assumptions!$B$4</x:f>
        <x:v>0.392</x:v>
      </x:c>
      <x:c r="E11" s="6" t="n">
        <x:f>B11*Assumptions!$B$2*Assumptions!$B$5</x:f>
        <x:v>0.47600000000000003</x:v>
      </x:c>
      <x:c r="F11" s="6" t="n">
        <x:f>B11*Assumptions!$B$2*Assumptions!$B$6</x:f>
        <x:v>0.56</x:v>
      </x:c>
    </x:row>
    <x:row r="12">
      <x:c r="A12" t="str">
        <x:v>WAF/Shield</x:v>
      </x:c>
      <x:c r="B12" s="5" t="n">
        <x:v>0.045</x:v>
      </x:c>
      <x:c r="C12" s="6" t="n">
        <x:f>B12*Assumptions!$B$2*Assumptions!$B$3</x:f>
        <x:v>0.38699999999999996</x:v>
      </x:c>
      <x:c r="D12" s="6" t="n">
        <x:f>B12*Assumptions!$B$2*Assumptions!$B$4</x:f>
        <x:v>0.504</x:v>
      </x:c>
      <x:c r="E12" s="6" t="n">
        <x:f>B12*Assumptions!$B$2*Assumptions!$B$5</x:f>
        <x:v>0.612</x:v>
      </x:c>
      <x:c r="F12" s="6" t="n">
        <x:f>B12*Assumptions!$B$2*Assumptions!$B$6</x:f>
        <x:v>0.72</x:v>
      </x:c>
    </x:row>
    <x:row r="13">
      <x:c r="A13" t="str">
        <x:v>CloudWatch logs/metrics</x:v>
      </x:c>
      <x:c r="B13" s="5" t="n">
        <x:v>0.045</x:v>
      </x:c>
      <x:c r="C13" s="6" t="n">
        <x:f>B13*Assumptions!$B$2*Assumptions!$B$3</x:f>
        <x:v>0.38699999999999996</x:v>
      </x:c>
      <x:c r="D13" s="6" t="n">
        <x:f>B13*Assumptions!$B$2*Assumptions!$B$4</x:f>
        <x:v>0.504</x:v>
      </x:c>
      <x:c r="E13" s="6" t="n">
        <x:f>B13*Assumptions!$B$2*Assumptions!$B$5</x:f>
        <x:v>0.612</x:v>
      </x:c>
      <x:c r="F13" s="6" t="n">
        <x:f>B13*Assumptions!$B$2*Assumptions!$B$6</x:f>
        <x:v>0.72</x:v>
      </x:c>
    </x:row>
    <x:row r="14">
      <x:c r="A14" t="str">
        <x:v>Managed Prometheus</x:v>
      </x:c>
      <x:c r="B14" s="5" t="n">
        <x:v>0.018</x:v>
      </x:c>
      <x:c r="C14" s="6" t="n">
        <x:f>B14*Assumptions!$B$2*Assumptions!$B$3</x:f>
        <x:v>0.1548</x:v>
      </x:c>
      <x:c r="D14" s="6" t="n">
        <x:f>B14*Assumptions!$B$2*Assumptions!$B$4</x:f>
        <x:v>0.20159999999999997</x:v>
      </x:c>
      <x:c r="E14" s="6" t="n">
        <x:f>B14*Assumptions!$B$2*Assumptions!$B$5</x:f>
        <x:v>0.24479999999999996</x:v>
      </x:c>
      <x:c r="F14" s="6" t="n">
        <x:f>B14*Assumptions!$B$2*Assumptions!$B$6</x:f>
        <x:v>0.288</x:v>
      </x:c>
    </x:row>
    <x:row r="15">
      <x:c r="A15" t="str">
        <x:v>Security and audit tools</x:v>
      </x:c>
      <x:c r="B15" s="5" t="n">
        <x:v>0.045</x:v>
      </x:c>
      <x:c r="C15" s="6" t="n">
        <x:f>B15*Assumptions!$B$2*Assumptions!$B$3</x:f>
        <x:v>0.38699999999999996</x:v>
      </x:c>
      <x:c r="D15" s="6" t="n">
        <x:f>B15*Assumptions!$B$2*Assumptions!$B$4</x:f>
        <x:v>0.504</x:v>
      </x:c>
      <x:c r="E15" s="6" t="n">
        <x:f>B15*Assumptions!$B$2*Assumptions!$B$5</x:f>
        <x:v>0.612</x:v>
      </x:c>
      <x:c r="F15" s="6" t="n">
        <x:f>B15*Assumptions!$B$2*Assumptions!$B$6</x:f>
        <x:v>0.72</x:v>
      </x:c>
    </x:row>
    <x:row r="16">
      <x:c r="A16" t="str">
        <x:v>Pager/on-call tools</x:v>
      </x:c>
      <x:c r="B16" s="5" t="n">
        <x:v>0.018</x:v>
      </x:c>
      <x:c r="C16" s="6" t="n">
        <x:f>B16*Assumptions!$B$2*Assumptions!$B$3</x:f>
        <x:v>0.1548</x:v>
      </x:c>
      <x:c r="D16" s="6" t="n">
        <x:f>B16*Assumptions!$B$2*Assumptions!$B$4</x:f>
        <x:v>0.20159999999999997</x:v>
      </x:c>
      <x:c r="E16" s="6" t="n">
        <x:f>B16*Assumptions!$B$2*Assumptions!$B$5</x:f>
        <x:v>0.24479999999999996</x:v>
      </x:c>
      <x:c r="F16" s="6" t="n">
        <x:f>B16*Assumptions!$B$2*Assumptions!$B$6</x:f>
        <x:v>0.288</x:v>
      </x:c>
    </x:row>
    <x:row r="17">
      <x:c r="A17" t="str">
        <x:v>DR drills/training</x:v>
      </x:c>
      <x:c r="B17" s="5" t="n">
        <x:v>0.025</x:v>
      </x:c>
      <x:c r="C17" s="6" t="n">
        <x:f>B17*Assumptions!$B$2*Assumptions!$B$3</x:f>
        <x:v>0.215</x:v>
      </x:c>
      <x:c r="D17" s="6" t="n">
        <x:f>B17*Assumptions!$B$2*Assumptions!$B$4</x:f>
        <x:v>0.27999999999999997</x:v>
      </x:c>
      <x:c r="E17" s="6" t="n">
        <x:f>B17*Assumptions!$B$2*Assumptions!$B$5</x:f>
        <x:v>0.34</x:v>
      </x:c>
      <x:c r="F17" s="6" t="n">
        <x:f>B17*Assumptions!$B$2*Assumptions!$B$6</x:f>
        <x:v>0.4</x:v>
      </x:c>
    </x:row>
    <x:row r="18">
      <x:c r="A18" t="str">
        <x:v>Shared platform/support</x:v>
      </x:c>
      <x:c r="B18" s="5" t="n">
        <x:v>0.121</x:v>
      </x:c>
      <x:c r="C18" s="6" t="n">
        <x:f>B18*Assumptions!$B$2*Assumptions!$B$3</x:f>
        <x:v>1.0406</x:v>
      </x:c>
      <x:c r="D18" s="6" t="n">
        <x:f>B18*Assumptions!$B$2*Assumptions!$B$4</x:f>
        <x:v>1.3552</x:v>
      </x:c>
      <x:c r="E18" s="6" t="n">
        <x:f>B18*Assumptions!$B$2*Assumptions!$B$5</x:f>
        <x:v>1.6456</x:v>
      </x:c>
      <x:c r="F18" s="6" t="n">
        <x:f>B18*Assumptions!$B$2*Assumptions!$B$6</x:f>
        <x:v>1.936</x:v>
      </x:c>
    </x:row>
    <x:row r="19">
      <x:c r="A19" t="str">
        <x:v>Total share / total annual cost</x:v>
      </x:c>
      <x:c r="B19" s="5" t="n">
        <x:f>SUM(B2:B18)</x:f>
        <x:v>1.0550000000000002</x:v>
      </x:c>
      <x:c r="C19" s="6" t="n">
        <x:f>SUM(C2:C18)</x:f>
        <x:v>9.072999999999999</x:v>
      </x:c>
      <x:c r="D19" s="6" t="n">
        <x:f>SUM(D2:D18)</x:f>
        <x:v>11.815999999999995</x:v>
      </x:c>
      <x:c r="E19" s="6" t="n">
        <x:f>SUM(E2:E18)</x:f>
        <x:v>14.348</x:v>
      </x:c>
      <x:c r="F19" s="6" t="n">
        <x:f>SUM(F2:F18)</x:f>
        <x:v>16.880000000000003</x:v>
      </x:c>
    </x:row>
  </x:sheetData>
  <x:pageMargins left="0.7" right="0.7" top="0.75" bottom="0.75" header="0.3" footer="0.3"/>
</x:worksheet>
</file>